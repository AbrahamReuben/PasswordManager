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euben\Desktop\"/>
    </mc:Choice>
  </mc:AlternateContent>
  <xr:revisionPtr revIDLastSave="0" documentId="13_ncr:1_{EED86F12-6F8D-4EF4-A60F-24B1F52F8F03}" xr6:coauthVersionLast="47" xr6:coauthVersionMax="47" xr10:uidLastSave="{00000000-0000-0000-0000-000000000000}"/>
  <workbookProtection workbookAlgorithmName="SHA-512" workbookHashValue="4Ty9rnwONl5FdKwMD6GsdR9hVVvckasBhzZ3J3ebdRqwZTyqti1Jtnm9AogKMIYnswm1wU+XtFAszTUOCzrlng==" workbookSaltValue="0CPhA1ebAMLsUjY7sip06A==" workbookSpinCount="100000" lockStructure="1"/>
  <bookViews>
    <workbookView xWindow="-108" yWindow="-108" windowWidth="30936" windowHeight="16776" xr2:uid="{00000000-000D-0000-FFFF-FFFF00000000}"/>
  </bookViews>
  <sheets>
    <sheet name="Main" sheetId="1" r:id="rId1"/>
    <sheet name="Data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H8" i="2" s="1"/>
  <c r="G7" i="2"/>
  <c r="H7" i="2" s="1"/>
  <c r="G6" i="2"/>
  <c r="H6" i="2" s="1"/>
  <c r="G5" i="2"/>
  <c r="H5" i="2" s="1"/>
  <c r="G4" i="2"/>
  <c r="H4" i="2" s="1"/>
  <c r="G3" i="2"/>
  <c r="H3" i="2" s="1"/>
  <c r="G2" i="2"/>
  <c r="H2" i="2" s="1"/>
  <c r="B6" i="1" l="1" a="1"/>
  <c r="B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<sst xmlns="http://schemas.openxmlformats.org/spreadsheetml/2006/main" count="54" uniqueCount="35">
  <si>
    <t>Group</t>
  </si>
  <si>
    <t>Entry</t>
  </si>
  <si>
    <t>Username</t>
  </si>
  <si>
    <t>Password</t>
  </si>
  <si>
    <t>URL</t>
  </si>
  <si>
    <t>Notes</t>
  </si>
  <si>
    <t>Signature</t>
  </si>
  <si>
    <t>Match</t>
  </si>
  <si>
    <t>Search</t>
  </si>
  <si>
    <t>Group1</t>
  </si>
  <si>
    <t>AD</t>
  </si>
  <si>
    <t>user@group1.com</t>
  </si>
  <si>
    <t>password_grp1</t>
  </si>
  <si>
    <t>https://www.group1.com</t>
  </si>
  <si>
    <t>Note</t>
  </si>
  <si>
    <t>Site1</t>
  </si>
  <si>
    <t>https://site1.group1.com</t>
  </si>
  <si>
    <t>Group2</t>
  </si>
  <si>
    <t>Site2</t>
  </si>
  <si>
    <t>user@group2.com</t>
  </si>
  <si>
    <t>password_grp2</t>
  </si>
  <si>
    <t>password_g1site1</t>
  </si>
  <si>
    <t>password_g1site2</t>
  </si>
  <si>
    <t>password_g2site1</t>
  </si>
  <si>
    <t>password_g2site2</t>
  </si>
  <si>
    <t>https://www.group2.com</t>
  </si>
  <si>
    <t>https://site1.group2.com</t>
  </si>
  <si>
    <t>https://site2.group2.com</t>
  </si>
  <si>
    <t>https://site2.group1.com</t>
  </si>
  <si>
    <t>Group3</t>
  </si>
  <si>
    <t>user@group3.com</t>
  </si>
  <si>
    <t>password_grp3</t>
  </si>
  <si>
    <t>https://www.group3.com</t>
  </si>
  <si>
    <t>All</t>
  </si>
  <si>
    <t>asadas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</si>
</sst>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4" fillId="0" borderId="0" xfId="3"/>
    <xf numFmtId="0" fontId="0" fillId="4" borderId="1" xfId="0" applyFill="1" applyBorder="1" applyProtection="1">
      <protection locked="0"/>
    </xf>
    <xf numFmtId="0" fontId="2" fillId="3" borderId="1" xfId="2" applyFont="1" applyBorder="1" applyProtection="1"/>
    <xf numFmtId="0" fontId="3" fillId="2" borderId="2" xfId="1" applyBorder="1" applyProtection="1"/>
    <xf numFmtId="0" fontId="3" fillId="4" borderId="1" xfId="0" applyFont="1" applyFill="1" applyBorder="1" applyProtection="1">
      <protection locked="0"/>
    </xf>
    <xf numFmtId="0" fontId="0" fillId="4" borderId="0" xfId="0" applyFill="1"/>
    <xf numFmtId="164" fontId="0" fillId="4" borderId="0" xfId="0" applyNumberFormat="1" applyFill="1"/>
    <xf numFmtId="0" fontId="0" fillId="4" borderId="3" xfId="0" applyFill="1" applyBorder="1" applyAlignment="1" applyProtection="1">
      <alignment horizontal="left"/>
      <protection locked="0"/>
    </xf>
    <xf numFmtId="0" fontId="0" fillId="4" borderId="4" xfId="0" applyFill="1" applyBorder="1" applyAlignment="1" applyProtection="1">
      <alignment horizontal="left"/>
      <protection locked="0"/>
    </xf>
  </cellXfs>
  <cellStyles count="4">
    <cellStyle name="60% - Accent5" xfId="2" builtinId="48"/>
    <cellStyle name="Accent5" xfId="1" builtinId="45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6B1DC5-A812-41DF-A09D-523B9726C955}" name="PWDB" displayName="PWDB" ref="A1:H8" totalsRowShown="0">
  <autoFilter ref="A1:H8" xr:uid="{3D6B1DC5-A812-41DF-A09D-523B9726C955}"/>
  <tableColumns count="8">
    <tableColumn id="1" xr3:uid="{4991C5BB-93D6-4C3A-B8F1-7B76A4490D20}" name="Group"/>
    <tableColumn id="2" xr3:uid="{9E2B449B-38B3-446B-AE35-26F0194D2C2C}" name="Entry"/>
    <tableColumn id="3" xr3:uid="{D7EA5EF4-54F8-4B15-8393-B8DCA69A3586}" name="Username" dataCellStyle="Hyperlink"/>
    <tableColumn id="4" xr3:uid="{42C6B2FD-01B3-4C73-837B-BD02AC18DA43}" name="Password"/>
    <tableColumn id="5" xr3:uid="{7409DF39-D737-44E0-A9B2-6F685CC39ED5}" name="URL" dataCellStyle="Hyperlink"/>
    <tableColumn id="6" xr3:uid="{F4C45984-262D-447A-95A5-8C9EECE9FFEE}" name="Notes"/>
    <tableColumn id="7" xr3:uid="{C5A24D79-1BD2-43D2-B68C-EF7898C71EA7}" name="Signature">
      <calculatedColumnFormula>CONCATENATE(A2,";",B2,";",E2,";",F2,";")</calculatedColumnFormula>
    </tableColumn>
    <tableColumn id="8" xr3:uid="{31D1DD08-A599-43D5-A014-9F2F8DB47364}" name="Match">
      <calculatedColumnFormula>IF(AND((IF(AND(Main!$C$2="",Main!$C$4=""),"False","Match"))="Match",(IF(OR(Main!$C$4="",Main!$C$4="All",Main!$C$4=A2),"Match","False"))="Match",(IF(OR(Main!$C$2="",ISNUMBER(SEARCH(Main!$C$2,G2))),"Match","False"))="Match"),"Match","False")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oup2.com/" TargetMode="External"/><Relationship Id="rId13" Type="http://schemas.openxmlformats.org/officeDocument/2006/relationships/hyperlink" Target="mailto:user@group3.com" TargetMode="External"/><Relationship Id="rId3" Type="http://schemas.openxmlformats.org/officeDocument/2006/relationships/hyperlink" Target="mailto:user@group1.com" TargetMode="External"/><Relationship Id="rId7" Type="http://schemas.openxmlformats.org/officeDocument/2006/relationships/hyperlink" Target="mailto:user@group2.com" TargetMode="External"/><Relationship Id="rId12" Type="http://schemas.openxmlformats.org/officeDocument/2006/relationships/hyperlink" Target="mailto:user@group2.com" TargetMode="External"/><Relationship Id="rId2" Type="http://schemas.openxmlformats.org/officeDocument/2006/relationships/hyperlink" Target="https://www.group1.com/" TargetMode="External"/><Relationship Id="rId1" Type="http://schemas.openxmlformats.org/officeDocument/2006/relationships/hyperlink" Target="mailto:user@group1.com" TargetMode="External"/><Relationship Id="rId6" Type="http://schemas.openxmlformats.org/officeDocument/2006/relationships/hyperlink" Target="https://site2.group1.com/" TargetMode="External"/><Relationship Id="rId11" Type="http://schemas.openxmlformats.org/officeDocument/2006/relationships/hyperlink" Target="mailto:user@group2.com" TargetMode="External"/><Relationship Id="rId5" Type="http://schemas.openxmlformats.org/officeDocument/2006/relationships/hyperlink" Target="mailto:user@group1.com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site2.group2.com/" TargetMode="External"/><Relationship Id="rId4" Type="http://schemas.openxmlformats.org/officeDocument/2006/relationships/hyperlink" Target="https://site1.group1.com/" TargetMode="External"/><Relationship Id="rId9" Type="http://schemas.openxmlformats.org/officeDocument/2006/relationships/hyperlink" Target="https://site1.group2.com/" TargetMode="External"/><Relationship Id="rId14" Type="http://schemas.openxmlformats.org/officeDocument/2006/relationships/hyperlink" Target="https://www.group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1"/>
  <sheetViews>
    <sheetView tabSelected="1" zoomScale="130" zoomScaleNormal="130" workbookViewId="0">
      <selection activeCell="C4" sqref="C4:F4"/>
    </sheetView>
  </sheetViews>
  <sheetFormatPr defaultRowHeight="14.4" x14ac:dyDescent="0.3"/>
  <cols>
    <col min="1" max="1" width="8.88671875" style="6"/>
    <col min="2" max="2" width="13.44140625" style="6" customWidth="1"/>
    <col min="3" max="3" width="12.88671875" style="6" customWidth="1"/>
    <col min="4" max="4" width="22.33203125" style="6" customWidth="1"/>
    <col min="5" max="5" width="20.109375" style="6" customWidth="1"/>
    <col min="6" max="6" width="30.5546875" style="6" customWidth="1"/>
    <col min="7" max="16384" width="8.88671875" style="6"/>
  </cols>
  <sheetData>
    <row r="2" spans="2:8" x14ac:dyDescent="0.3">
      <c r="B2" s="4" t="s">
        <v>8</v>
      </c>
      <c r="C2" s="8"/>
      <c r="D2" s="8"/>
      <c r="E2" s="8"/>
      <c r="F2" s="9"/>
    </row>
    <row r="4" spans="2:8" x14ac:dyDescent="0.3">
      <c r="B4" s="4" t="s">
        <v>0</v>
      </c>
      <c r="C4" s="8" t="s">
        <v>33</v>
      </c>
      <c r="D4" s="8"/>
      <c r="E4" s="8"/>
      <c r="F4" s="9"/>
    </row>
    <row r="6" spans="2:8" x14ac:dyDescent="0.3">
      <c r="B6" s="3" t="str" cm="1">
        <f t="array" aca="1" ref="B6:F11" ca="1">_xlfn.LET(
   _xlpm._Data, OFFSET(Data!$A$1,0,0,COUNTA(Data!A:A),COUNTA(Data!1:1)),
   _xlpm._LastRow, COUNTA(Data!A:A),
   _xlpm._CriteriaRange, Data!H1:INDEX(Data!H:H, _xlpm._LastRow),
   _xlpm._Output, _xlfn._xlws.FILTER(INDEX(_xlpm._Data,_xlfn.SEQUENCE(ROWS(_xlpm._Data)),{1,2,3,4,5}), _xlpm._CriteriaRange="Match", "No Data"),
   _xlfn.TAKE(_xlpm._Output,6)
)</f>
        <v>Group</v>
      </c>
      <c r="C6" s="3" t="str">
        <f ca="1"/>
        <v>Entry</v>
      </c>
      <c r="D6" s="3" t="str">
        <f ca="1"/>
        <v>Username</v>
      </c>
      <c r="E6" s="3" t="str">
        <f ca="1"/>
        <v>Password</v>
      </c>
      <c r="F6" s="3" t="str">
        <f ca="1"/>
        <v>URL</v>
      </c>
    </row>
    <row r="7" spans="2:8" x14ac:dyDescent="0.3">
      <c r="B7" s="2" t="str">
        <f ca="1"/>
        <v>Group1</v>
      </c>
      <c r="C7" s="2" t="str">
        <f ca="1"/>
        <v>AD</v>
      </c>
      <c r="D7" s="2" t="str">
        <f ca="1"/>
        <v>user@group1.com</v>
      </c>
      <c r="E7" s="5" t="str">
        <f ca="1"/>
        <v>password_grp1</v>
      </c>
      <c r="F7" s="2" t="str">
        <f ca="1"/>
        <v>https://www.group1.com</v>
      </c>
      <c r="H7" s="7" t="s">
        <v>34</v>
      </c>
    </row>
    <row r="8" spans="2:8" x14ac:dyDescent="0.3">
      <c r="B8" s="2" t="str">
        <f ca="1"/>
        <v>Group1</v>
      </c>
      <c r="C8" s="2" t="str">
        <f ca="1"/>
        <v>Site1</v>
      </c>
      <c r="D8" s="2" t="str">
        <f ca="1"/>
        <v>user@group1.com</v>
      </c>
      <c r="E8" s="5" t="str">
        <f ca="1"/>
        <v>password_g1site1</v>
      </c>
      <c r="F8" s="2" t="str">
        <f ca="1"/>
        <v>https://site1.group1.com</v>
      </c>
    </row>
    <row r="9" spans="2:8" x14ac:dyDescent="0.3">
      <c r="B9" s="2" t="str">
        <f ca="1"/>
        <v>Group1</v>
      </c>
      <c r="C9" s="2" t="str">
        <f ca="1"/>
        <v>Site2</v>
      </c>
      <c r="D9" s="2" t="str">
        <f ca="1"/>
        <v>user@group1.com</v>
      </c>
      <c r="E9" s="5" t="str">
        <f ca="1"/>
        <v>password_g1site2</v>
      </c>
      <c r="F9" s="2" t="str">
        <f ca="1"/>
        <v>https://site2.group1.com</v>
      </c>
    </row>
    <row r="10" spans="2:8" x14ac:dyDescent="0.3">
      <c r="B10" s="2" t="str">
        <f ca="1"/>
        <v>Group2</v>
      </c>
      <c r="C10" s="2" t="str">
        <f ca="1"/>
        <v>AD</v>
      </c>
      <c r="D10" s="2" t="str">
        <f ca="1"/>
        <v>user@group2.com</v>
      </c>
      <c r="E10" s="5" t="str">
        <f ca="1"/>
        <v>password_grp2</v>
      </c>
      <c r="F10" s="2" t="str">
        <f ca="1"/>
        <v>https://www.group2.com</v>
      </c>
    </row>
    <row r="11" spans="2:8" x14ac:dyDescent="0.3">
      <c r="B11" s="2" t="str">
        <f ca="1"/>
        <v>Group2</v>
      </c>
      <c r="C11" s="2" t="str">
        <f ca="1"/>
        <v>Site1</v>
      </c>
      <c r="D11" s="2" t="str">
        <f ca="1"/>
        <v>user@group2.com</v>
      </c>
      <c r="E11" s="5" t="str">
        <f ca="1"/>
        <v>password_g2site1</v>
      </c>
      <c r="F11" s="2" t="str">
        <f ca="1"/>
        <v>https://site1.group2.com</v>
      </c>
    </row>
  </sheetData>
  <sheetProtection algorithmName="SHA-512" hashValue="/B935CgV3dE1fXnRgOeZMNYsyZ4KcNwtKMg8OpwyCvoMJbDo8uj/nZhKHdduTMvF1iUk1ggNWVe72UooI4r/UA==" saltValue="EP1cm4Vh7o0bd5pdQHNf4A==" spinCount="100000" sheet="1" objects="1" scenarios="1" selectLockedCells="1"/>
  <mergeCells count="2">
    <mergeCell ref="C2:F2"/>
    <mergeCell ref="C4:F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FED8-CC6D-4589-8AEE-6858FF92E1B4}">
  <dimension ref="A1:H8"/>
  <sheetViews>
    <sheetView zoomScale="115" zoomScaleNormal="11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.44140625" bestFit="1" customWidth="1"/>
    <col min="2" max="2" width="7.6640625" bestFit="1" customWidth="1"/>
    <col min="3" max="3" width="16.109375" bestFit="1" customWidth="1"/>
    <col min="4" max="4" width="15.6640625" bestFit="1" customWidth="1"/>
    <col min="5" max="5" width="22.21875" bestFit="1" customWidth="1"/>
    <col min="6" max="6" width="8.109375" bestFit="1" customWidth="1"/>
    <col min="7" max="7" width="38.5546875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9</v>
      </c>
      <c r="B2" t="s">
        <v>10</v>
      </c>
      <c r="C2" s="1" t="s">
        <v>11</v>
      </c>
      <c r="D2" t="s">
        <v>12</v>
      </c>
      <c r="E2" s="1" t="s">
        <v>13</v>
      </c>
      <c r="F2" t="s">
        <v>14</v>
      </c>
      <c r="G2" t="str">
        <f t="shared" ref="G2:G8" si="0">CONCATENATE(A2,";",B2,";",E2,";",F2,";")</f>
        <v>Group1;AD;https://www.group1.com;Note;</v>
      </c>
      <c r="H2" t="str">
        <f>IF(AND((IF(AND(Main!$C$2="",Main!$C$4=""),"False","Match"))="Match",(IF(OR(Main!$C$4="",Main!$C$4="All",Main!$C$4=A2),"Match","False"))="Match",(IF(OR(Main!$C$2="",ISNUMBER(SEARCH(Main!$C$2,G2))),"Match","False"))="Match"),"Match","False")</f>
        <v>Match</v>
      </c>
    </row>
    <row r="3" spans="1:8" x14ac:dyDescent="0.3">
      <c r="A3" t="s">
        <v>9</v>
      </c>
      <c r="B3" t="s">
        <v>15</v>
      </c>
      <c r="C3" s="1" t="s">
        <v>11</v>
      </c>
      <c r="D3" t="s">
        <v>21</v>
      </c>
      <c r="E3" s="1" t="s">
        <v>16</v>
      </c>
      <c r="F3" t="s">
        <v>14</v>
      </c>
      <c r="G3" t="str">
        <f t="shared" si="0"/>
        <v>Group1;Site1;https://site1.group1.com;Note;</v>
      </c>
      <c r="H3" t="str">
        <f>IF(AND((IF(AND(Main!$C$2="",Main!$C$4=""),"False","Match"))="Match",(IF(OR(Main!$C$4="",Main!$C$4="All",Main!$C$4=A3),"Match","False"))="Match",(IF(OR(Main!$C$2="",ISNUMBER(SEARCH(Main!$C$2,G3))),"Match","False"))="Match"),"Match","False")</f>
        <v>Match</v>
      </c>
    </row>
    <row r="4" spans="1:8" x14ac:dyDescent="0.3">
      <c r="A4" t="s">
        <v>9</v>
      </c>
      <c r="B4" t="s">
        <v>18</v>
      </c>
      <c r="C4" s="1" t="s">
        <v>11</v>
      </c>
      <c r="D4" t="s">
        <v>22</v>
      </c>
      <c r="E4" s="1" t="s">
        <v>28</v>
      </c>
      <c r="F4" t="s">
        <v>14</v>
      </c>
      <c r="G4" t="str">
        <f t="shared" si="0"/>
        <v>Group1;Site2;https://site2.group1.com;Note;</v>
      </c>
      <c r="H4" t="str">
        <f>IF(AND((IF(AND(Main!$C$2="",Main!$C$4=""),"False","Match"))="Match",(IF(OR(Main!$C$4="",Main!$C$4="All",Main!$C$4=A4),"Match","False"))="Match",(IF(OR(Main!$C$2="",ISNUMBER(SEARCH(Main!$C$2,G4))),"Match","False"))="Match"),"Match","False")</f>
        <v>Match</v>
      </c>
    </row>
    <row r="5" spans="1:8" x14ac:dyDescent="0.3">
      <c r="A5" t="s">
        <v>17</v>
      </c>
      <c r="B5" t="s">
        <v>10</v>
      </c>
      <c r="C5" s="1" t="s">
        <v>19</v>
      </c>
      <c r="D5" t="s">
        <v>20</v>
      </c>
      <c r="E5" s="1" t="s">
        <v>25</v>
      </c>
      <c r="F5" t="s">
        <v>14</v>
      </c>
      <c r="G5" t="str">
        <f t="shared" si="0"/>
        <v>Group2;AD;https://www.group2.com;Note;</v>
      </c>
      <c r="H5" t="str">
        <f>IF(AND((IF(AND(Main!$C$2="",Main!$C$4=""),"False","Match"))="Match",(IF(OR(Main!$C$4="",Main!$C$4="All",Main!$C$4=A5),"Match","False"))="Match",(IF(OR(Main!$C$2="",ISNUMBER(SEARCH(Main!$C$2,G5))),"Match","False"))="Match"),"Match","False")</f>
        <v>Match</v>
      </c>
    </row>
    <row r="6" spans="1:8" x14ac:dyDescent="0.3">
      <c r="A6" t="s">
        <v>17</v>
      </c>
      <c r="B6" t="s">
        <v>15</v>
      </c>
      <c r="C6" s="1" t="s">
        <v>19</v>
      </c>
      <c r="D6" t="s">
        <v>23</v>
      </c>
      <c r="E6" s="1" t="s">
        <v>26</v>
      </c>
      <c r="F6" t="s">
        <v>14</v>
      </c>
      <c r="G6" t="str">
        <f t="shared" si="0"/>
        <v>Group2;Site1;https://site1.group2.com;Note;</v>
      </c>
      <c r="H6" t="str">
        <f>IF(AND((IF(AND(Main!$C$2="",Main!$C$4=""),"False","Match"))="Match",(IF(OR(Main!$C$4="",Main!$C$4="All",Main!$C$4=A6),"Match","False"))="Match",(IF(OR(Main!$C$2="",ISNUMBER(SEARCH(Main!$C$2,G6))),"Match","False"))="Match"),"Match","False")</f>
        <v>Match</v>
      </c>
    </row>
    <row r="7" spans="1:8" x14ac:dyDescent="0.3">
      <c r="A7" t="s">
        <v>17</v>
      </c>
      <c r="B7" t="s">
        <v>18</v>
      </c>
      <c r="C7" s="1" t="s">
        <v>19</v>
      </c>
      <c r="D7" t="s">
        <v>24</v>
      </c>
      <c r="E7" s="1" t="s">
        <v>27</v>
      </c>
      <c r="F7" t="s">
        <v>14</v>
      </c>
      <c r="G7" t="str">
        <f t="shared" si="0"/>
        <v>Group2;Site2;https://site2.group2.com;Note;</v>
      </c>
      <c r="H7" t="str">
        <f>IF(AND((IF(AND(Main!$C$2="",Main!$C$4=""),"False","Match"))="Match",(IF(OR(Main!$C$4="",Main!$C$4="All",Main!$C$4=A7),"Match","False"))="Match",(IF(OR(Main!$C$2="",ISNUMBER(SEARCH(Main!$C$2,G7))),"Match","False"))="Match"),"Match","False")</f>
        <v>Match</v>
      </c>
    </row>
    <row r="8" spans="1:8" x14ac:dyDescent="0.3">
      <c r="A8" t="s">
        <v>29</v>
      </c>
      <c r="B8" t="s">
        <v>10</v>
      </c>
      <c r="C8" s="1" t="s">
        <v>30</v>
      </c>
      <c r="D8" t="s">
        <v>31</v>
      </c>
      <c r="E8" s="1" t="s">
        <v>32</v>
      </c>
      <c r="F8" t="s">
        <v>14</v>
      </c>
      <c r="G8" t="str">
        <f t="shared" si="0"/>
        <v>Group3;AD;https://www.group3.com;Note;</v>
      </c>
      <c r="H8" t="str">
        <f>IF(AND((IF(AND(Main!$C$2="",Main!$C$4=""),"False","Match"))="Match",(IF(OR(Main!$C$4="",Main!$C$4="All",Main!$C$4=A8),"Match","False"))="Match",(IF(OR(Main!$C$2="",ISNUMBER(SEARCH(Main!$C$2,G8))),"Match","False"))="Match"),"Match","False")</f>
        <v>Match</v>
      </c>
    </row>
  </sheetData>
  <hyperlinks>
    <hyperlink ref="C2" r:id="rId1" xr:uid="{592260C4-9C6E-4053-A7F5-CAE95992BE92}"/>
    <hyperlink ref="E2" r:id="rId2" xr:uid="{617B4374-CB2E-440A-9188-9435A00FC117}"/>
    <hyperlink ref="C3" r:id="rId3" xr:uid="{4A9F0D98-FB65-4A95-BB9B-776510A2B006}"/>
    <hyperlink ref="E3" r:id="rId4" xr:uid="{CF15E874-D036-4DF1-83B8-C323BCB6B917}"/>
    <hyperlink ref="C4" r:id="rId5" xr:uid="{50BF0115-B94C-436F-AD34-897EDB15F691}"/>
    <hyperlink ref="E4" r:id="rId6" xr:uid="{BCC3BE53-0E2D-454E-A42B-840F16CD76A0}"/>
    <hyperlink ref="C5" r:id="rId7" xr:uid="{A712DECB-9B4E-411F-9179-5CD9BD5C018A}"/>
    <hyperlink ref="E5" r:id="rId8" xr:uid="{AB1D9BB2-6F98-4528-B680-8B7FEB6875FC}"/>
    <hyperlink ref="E6" r:id="rId9" xr:uid="{88EBDAA6-D065-4703-92BE-4E3DF3A0EA1C}"/>
    <hyperlink ref="E7" r:id="rId10" xr:uid="{EAC5FEE4-8979-4A2F-9A70-DFF1653865DB}"/>
    <hyperlink ref="C6" r:id="rId11" xr:uid="{7A1C7B5C-47C2-4FCA-B906-B6062CAFB746}"/>
    <hyperlink ref="C7" r:id="rId12" xr:uid="{33DBDB70-A0FF-42F3-9209-9AAF9E534698}"/>
    <hyperlink ref="C8" r:id="rId13" xr:uid="{2E676E3C-B3D9-4F13-A829-FDD98A62C7C8}"/>
    <hyperlink ref="E8" r:id="rId14" xr:uid="{57E290A3-0DA0-4A8F-BD95-2A0E707C8207}"/>
  </hyperlinks>
  <pageMargins left="0.7" right="0.7" top="0.75" bottom="0.75" header="0.3" footer="0.3"/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Reuben Abraham</dc:creator>
  <cp:lastModifiedBy>Reuben Abraham</cp:lastModifiedBy>
  <dcterms:created xsi:type="dcterms:W3CDTF">2015-06-05T18:17:20Z</dcterms:created>
  <dcterms:modified xsi:type="dcterms:W3CDTF">2026-03-16T12:11:27Z</dcterms:modified>
</cp:coreProperties>
</file>